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Observations Clar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Saisir la date du jour où le site a été publié (mission M7). Les dates des missions M15 à M18 se calculent alors seules.</t>
        </r>
      </text>
    </comment>
  </commentList>
</comments>
</file>

<file path=xl/sharedStrings.xml><?xml version="1.0" encoding="utf-8"?>
<sst xmlns="http://schemas.openxmlformats.org/spreadsheetml/2006/main" count="209" uniqueCount="128">
  <si>
    <t xml:space="preserve">Suivi de la mise en ligne des correctifs mfinances.be — V3.2</t>
  </si>
  <si>
    <t xml:space="preserve">Une ligne = une mission du document 00-COMMENCER-ICI.md. Remplir uniquement les cellules jaunes et les colonnes I à M. Exemple de ligne remplie : M1 · Fait · 28/09/2026 · M01.png · Oui · « Aucun commit après le 15/09 ».</t>
  </si>
  <si>
    <t xml:space="preserve">Date de mise en ligne (fin de M7)</t>
  </si>
  <si>
    <t xml:space="preserve">Avancement</t>
  </si>
  <si>
    <t xml:space="preserve">N°</t>
  </si>
  <si>
    <t xml:space="preserve">Phase</t>
  </si>
  <si>
    <t xml:space="preserve">Mission</t>
  </si>
  <si>
    <t xml:space="preserve">Qui</t>
  </si>
  <si>
    <t xml:space="preserve">Quand</t>
  </si>
  <si>
    <t xml:space="preserve">Durée</t>
  </si>
  <si>
    <t xml:space="preserve">Test de réussite</t>
  </si>
  <si>
    <t xml:space="preserve">Preuve attendue</t>
  </si>
  <si>
    <t xml:space="preserve">Statut</t>
  </si>
  <si>
    <t xml:space="preserve">Date de réalisation</t>
  </si>
  <si>
    <t xml:space="preserve">Fichier preuve</t>
  </si>
  <si>
    <t xml:space="preserve">Validé par Mika</t>
  </si>
  <si>
    <t xml:space="preserve">Commentaire / blocage</t>
  </si>
  <si>
    <t xml:space="preserve">M0</t>
  </si>
  <si>
    <t xml:space="preserve">A · Préparation</t>
  </si>
  <si>
    <t xml:space="preserve">Préparer ses accès (GitHub, Lovable, hébergeur, Search Console, Clarity)</t>
  </si>
  <si>
    <t xml:space="preserve">Webmaster</t>
  </si>
  <si>
    <t xml:space="preserve">Jour 1</t>
  </si>
  <si>
    <t xml:space="preserve">10 min</t>
  </si>
  <si>
    <t xml:space="preserve">Les cinq connexions fonctionnent</t>
  </si>
  <si>
    <t xml:space="preserve">—</t>
  </si>
  <si>
    <t xml:space="preserve">À faire</t>
  </si>
  <si>
    <t xml:space="preserve">M1</t>
  </si>
  <si>
    <t xml:space="preserve">Vérifier qu’aucun commit n’a été fait après le 15/09/2026</t>
  </si>
  <si>
    <t xml:space="preserve">5 min</t>
  </si>
  <si>
    <t xml:space="preserve">Aucun commit récent (sinon feu rouge)</t>
  </si>
  <si>
    <t xml:space="preserve">M01.png</t>
  </si>
  <si>
    <t xml:space="preserve">M2</t>
  </si>
  <si>
    <t xml:space="preserve">B · Redirection www</t>
  </si>
  <si>
    <t xml:space="preserve">Trouver où le domaine est géré (Vercel ou Lovable)</t>
  </si>
  <si>
    <t xml:space="preserve">« Vercel » ou « Lovable » noté en commentaire</t>
  </si>
  <si>
    <t xml:space="preserve">M02.png</t>
  </si>
  <si>
    <t xml:space="preserve">M3</t>
  </si>
  <si>
    <t xml:space="preserve">Régler la redirection permanente www → mfinances.be (301/308)</t>
  </si>
  <si>
    <t xml:space="preserve">L’écran indique la redirection vers mfinances.be</t>
  </si>
  <si>
    <t xml:space="preserve">M03.png</t>
  </si>
  <si>
    <t xml:space="preserve">M4</t>
  </si>
  <si>
    <t xml:space="preserve">Tester 3 adresses en www, sur ordinateur et en 4G</t>
  </si>
  <si>
    <t xml:space="preserve">La barre d’adresse affiche toujours mfinances.be sans www</t>
  </si>
  <si>
    <t xml:space="preserve">M04.png</t>
  </si>
  <si>
    <t xml:space="preserve">M5</t>
  </si>
  <si>
    <t xml:space="preserve">C · Pack V3</t>
  </si>
  <si>
    <t xml:space="preserve">Copier les 47 fichiers dans GitHub (guide, étape 1)</t>
  </si>
  <si>
    <t xml:space="preserve">Commit « … V3.2 » avec 47 fichiers</t>
  </si>
  <si>
    <t xml:space="preserve">M05.png</t>
  </si>
  <si>
    <t xml:space="preserve">M6</t>
  </si>
  <si>
    <t xml:space="preserve">Supprimer le dossier fichiers-finaux (guide, étape 2)</t>
  </si>
  <si>
    <t xml:space="preserve">2 min</t>
  </si>
  <si>
    <t xml:space="preserve">Seul ce dossier est supprimé</t>
  </si>
  <si>
    <t xml:space="preserve">M06.png</t>
  </si>
  <si>
    <t xml:space="preserve">M7</t>
  </si>
  <si>
    <t xml:space="preserve">Compiler et publier (guide, étape 3)</t>
  </si>
  <si>
    <t xml:space="preserve">Compilation réussie, site publié</t>
  </si>
  <si>
    <t xml:space="preserve">M07.png</t>
  </si>
  <si>
    <t xml:space="preserve">M8</t>
  </si>
  <si>
    <t xml:space="preserve">Préparer la base des avis Google (guide, étape 4)</t>
  </si>
  <si>
    <t xml:space="preserve">Les deux migrations appliquées dans l’ordre, fonction déployée</t>
  </si>
  <si>
    <t xml:space="preserve">M08.png</t>
  </si>
  <si>
    <t xml:space="preserve">M9</t>
  </si>
  <si>
    <t xml:space="preserve">Dérouler la checklist de contrôle, sections 1 à 5</t>
  </si>
  <si>
    <t xml:space="preserve">30 min</t>
  </si>
  <si>
    <t xml:space="preserve">Toutes les cases cochées, ordinateur et téléphone</t>
  </si>
  <si>
    <t xml:space="preserve">Checklist cochée</t>
  </si>
  <si>
    <t xml:space="preserve">M10</t>
  </si>
  <si>
    <t xml:space="preserve">Relever le &lt;title&gt; du code source de /tarifs/ et /services/daf-externalise/</t>
  </si>
  <si>
    <t xml:space="preserve">Titres exacts de Tarifs et DAF (voir M10) ; si titre de l’accueil → feu rouge</t>
  </si>
  <si>
    <t xml:space="preserve">M10.png</t>
  </si>
  <si>
    <t xml:space="preserve">M11</t>
  </si>
  <si>
    <t xml:space="preserve">D · Outils</t>
  </si>
  <si>
    <t xml:space="preserve">Search Console : sitemap, inspection www, 6 demandes d’indexation</t>
  </si>
  <si>
    <t xml:space="preserve">Webmaster + Mika</t>
  </si>
  <si>
    <t xml:space="preserve">Jour 2</t>
  </si>
  <si>
    <t xml:space="preserve">20 min</t>
  </si>
  <si>
    <t xml:space="preserve">Sitemap « Opération effectuée », 6 demandes envoyées</t>
  </si>
  <si>
    <t xml:space="preserve">M11.png</t>
  </si>
  <si>
    <t xml:space="preserve">M12</t>
  </si>
  <si>
    <t xml:space="preserve">Bing Webmaster Tools : import depuis Search Console</t>
  </si>
  <si>
    <t xml:space="preserve">mfinances.be présent dans Bing</t>
  </si>
  <si>
    <t xml:space="preserve">M12.png</t>
  </si>
  <si>
    <t xml:space="preserve">M13</t>
  </si>
  <si>
    <t xml:space="preserve">Clarity : IP bloquées, segments, entonnoirs (annexe 04)</t>
  </si>
  <si>
    <t xml:space="preserve">15 min</t>
  </si>
  <si>
    <t xml:space="preserve">Segments « Production » et « Production · Google » créés</t>
  </si>
  <si>
    <t xml:space="preserve">M13.png</t>
  </si>
  <si>
    <t xml:space="preserve">M14</t>
  </si>
  <si>
    <t xml:space="preserve">Avis Google : demande d’accès à l’API (guide 6.1 et 6.2)</t>
  </si>
  <si>
    <t xml:space="preserve">Formulaire envoyé, date notée</t>
  </si>
  <si>
    <t xml:space="preserve">M14.png</t>
  </si>
  <si>
    <t xml:space="preserve">M14 bis</t>
  </si>
  <si>
    <t xml:space="preserve">Avis Google : étapes 6.3 à 6.11, après réponse de Google</t>
  </si>
  <si>
    <t xml:space="preserve">Dès la réponse de Google</t>
  </si>
  <si>
    <t xml:space="preserve">45 min</t>
  </si>
  <si>
    <t xml:space="preserve">Réponse « ok: true » et bon nombre d’avis sur le site</t>
  </si>
  <si>
    <t xml:space="preserve">M14bis.png</t>
  </si>
  <si>
    <t xml:space="preserve">M15</t>
  </si>
  <si>
    <t xml:space="preserve">E · Suivi</t>
  </si>
  <si>
    <t xml:space="preserve">Vérifier la mesure Clarity (checklist, section 6)</t>
  </si>
  <si>
    <t xml:space="preserve">environment = production et un événement visibles</t>
  </si>
  <si>
    <t xml:space="preserve">M15.png</t>
  </si>
  <si>
    <t xml:space="preserve">M16</t>
  </si>
  <si>
    <t xml:space="preserve">Clics morts : relever les éléments dans l’onglet Observations</t>
  </si>
  <si>
    <t xml:space="preserve">Onglet Observations rempli, aucune correction faite</t>
  </si>
  <si>
    <t xml:space="preserve">Onglet Observations</t>
  </si>
  <si>
    <t xml:space="preserve">M17</t>
  </si>
  <si>
    <t xml:space="preserve">Vitesse page par page (LCP, INP) : 4 pages × mobile/ordinateur</t>
  </si>
  <si>
    <t xml:space="preserve">8 mesures notées dans l’onglet Observations</t>
  </si>
  <si>
    <t xml:space="preserve">M18</t>
  </si>
  <si>
    <t xml:space="preserve">Exports Search Console et Clarity pour le bilan</t>
  </si>
  <si>
    <t xml:space="preserve">Deux fichiers envoyés à Mika</t>
  </si>
  <si>
    <t xml:space="preserve">Fichiers envoyés</t>
  </si>
  <si>
    <t xml:space="preserve">Observations Clarity (missions M16 et M17) — segment « Production » uniquement</t>
  </si>
  <si>
    <t xml:space="preserve">Une ligne par observation. La ligne 5 est un exemple : la recopier sur le même modèle à partir de la ligne 6, puis supprimer l’exemple.</t>
  </si>
  <si>
    <t xml:space="preserve">Date</t>
  </si>
  <si>
    <t xml:space="preserve">Page</t>
  </si>
  <si>
    <t xml:space="preserve">Élément cliqué ou mesure</t>
  </si>
  <si>
    <t xml:space="preserve">Nombre de sessions ou valeur</t>
  </si>
  <si>
    <t xml:space="preserve">Appareil</t>
  </si>
  <si>
    <t xml:space="preserve">Remarque</t>
  </si>
  <si>
    <t xml:space="preserve">12/10/2026</t>
  </si>
  <si>
    <t xml:space="preserve">/tarifs/</t>
  </si>
  <si>
    <t xml:space="preserve">Carte du forfait Premium (hors bouton)</t>
  </si>
  <si>
    <t xml:space="preserve">6 sessions</t>
  </si>
  <si>
    <t xml:space="preserve">Mobile</t>
  </si>
  <si>
    <t xml:space="preserve">EXEMPLE — les visiteurs cliquent sur toute la carte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</si>
</sst>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D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C2D5F"/>
      <name val="Arial"/>
      <family val="0"/>
      <charset val="1"/>
    </font>
    <font>
      <b val="true"/>
      <sz val="11"/>
      <color rgb="FFE628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3"/>
      <color rgb="FF1C2D5F"/>
      <name val="Arial"/>
      <family val="0"/>
      <charset val="1"/>
    </font>
    <font>
      <i val="true"/>
      <sz val="11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2D5F"/>
        <bgColor rgb="FF333333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8"/>
      </left>
      <right style="thin">
        <color rgb="FFC8CCD8"/>
      </right>
      <top style="thin">
        <color rgb="FFC8CCD8"/>
      </top>
      <bottom style="thin">
        <color rgb="FFC8CC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FF3E4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AD4D4"/>
        </patternFill>
      </fill>
    </dxf>
    <dxf>
      <fill>
        <patternFill>
          <bgColor rgb="FFFFE8C7"/>
        </patternFill>
      </fill>
    </dxf>
  </dxfs>
  <colors>
    <indexedColors>
      <rgbColor rgb="FF000000"/>
      <rgbColor rgb="FFFFFFFF"/>
      <rgbColor rgb="FFE628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8"/>
      <rgbColor rgb="FF888888"/>
      <rgbColor rgb="FF9999FF"/>
      <rgbColor rgb="FF993366"/>
      <rgbColor rgb="FFFFFB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E8C7"/>
      <rgbColor rgb="FF99CCFF"/>
      <rgbColor rgb="FFFF99CC"/>
      <rgbColor rgb="FFCC99FF"/>
      <rgbColor rgb="FFFAD4D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2D5F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3" min="3" style="1" width="46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7" min="7" style="1" width="38"/>
    <col collapsed="false" customWidth="true" hidden="false" outlineLevel="0" max="8" min="8" style="1" width="17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5"/>
    <col collapsed="false" customWidth="true" hidden="false" outlineLevel="0" max="12" min="12" style="1" width="11"/>
    <col collapsed="false" customWidth="true" hidden="false" outlineLevel="0" max="13" min="13" style="1" width="4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C3" s="5"/>
    </row>
    <row r="4" customFormat="false" ht="15" hidden="false" customHeight="true" outlineLevel="0" collapsed="false">
      <c r="A4" s="4" t="s">
        <v>3</v>
      </c>
      <c r="C4" s="6" t="n">
        <f aca="false">COUNTIF(I7:I26,"Fait")/COUNTA(A7:A26)</f>
        <v>0</v>
      </c>
      <c r="D4" s="7" t="str">
        <f aca="false">COUNTIF(I7:I26,"Bloqué")&amp;" mission(s) bloquée(s)"</f>
        <v>0 mission(s) bloquée(s)</v>
      </c>
    </row>
    <row r="6" customFormat="false" ht="26.25" hidden="false" customHeight="true" outlineLevel="0" collapsed="false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</row>
    <row r="7" customFormat="false" ht="23.25" hidden="false" customHeight="true" outlineLevel="0" collapsed="false">
      <c r="A7" s="9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0" t="s">
        <v>24</v>
      </c>
      <c r="I7" s="11" t="s">
        <v>25</v>
      </c>
      <c r="J7" s="12"/>
      <c r="K7" s="11"/>
      <c r="L7" s="11"/>
      <c r="M7" s="11"/>
    </row>
    <row r="8" customFormat="false" ht="15" hidden="false" customHeight="true" outlineLevel="0" collapsed="false">
      <c r="A8" s="9" t="s">
        <v>26</v>
      </c>
      <c r="B8" s="10" t="s">
        <v>18</v>
      </c>
      <c r="C8" s="10" t="s">
        <v>27</v>
      </c>
      <c r="D8" s="10" t="s">
        <v>20</v>
      </c>
      <c r="E8" s="10" t="s">
        <v>21</v>
      </c>
      <c r="F8" s="10" t="s">
        <v>28</v>
      </c>
      <c r="G8" s="10" t="s">
        <v>29</v>
      </c>
      <c r="H8" s="10" t="s">
        <v>30</v>
      </c>
      <c r="I8" s="11" t="s">
        <v>25</v>
      </c>
      <c r="J8" s="12"/>
      <c r="K8" s="11"/>
      <c r="L8" s="11"/>
      <c r="M8" s="11"/>
    </row>
    <row r="9" customFormat="false" ht="23.25" hidden="false" customHeight="true" outlineLevel="0" collapsed="false">
      <c r="A9" s="9" t="s">
        <v>31</v>
      </c>
      <c r="B9" s="10" t="s">
        <v>32</v>
      </c>
      <c r="C9" s="10" t="s">
        <v>33</v>
      </c>
      <c r="D9" s="10" t="s">
        <v>20</v>
      </c>
      <c r="E9" s="10" t="s">
        <v>21</v>
      </c>
      <c r="F9" s="10" t="s">
        <v>28</v>
      </c>
      <c r="G9" s="10" t="s">
        <v>34</v>
      </c>
      <c r="H9" s="10" t="s">
        <v>35</v>
      </c>
      <c r="I9" s="11" t="s">
        <v>25</v>
      </c>
      <c r="J9" s="12"/>
      <c r="K9" s="11"/>
      <c r="L9" s="11"/>
      <c r="M9" s="11"/>
    </row>
    <row r="10" customFormat="false" ht="23.25" hidden="false" customHeight="true" outlineLevel="0" collapsed="false">
      <c r="A10" s="9" t="s">
        <v>36</v>
      </c>
      <c r="B10" s="10" t="s">
        <v>32</v>
      </c>
      <c r="C10" s="10" t="s">
        <v>37</v>
      </c>
      <c r="D10" s="10" t="s">
        <v>20</v>
      </c>
      <c r="E10" s="10" t="s">
        <v>21</v>
      </c>
      <c r="F10" s="10" t="s">
        <v>22</v>
      </c>
      <c r="G10" s="10" t="s">
        <v>38</v>
      </c>
      <c r="H10" s="10" t="s">
        <v>39</v>
      </c>
      <c r="I10" s="11" t="s">
        <v>25</v>
      </c>
      <c r="J10" s="12"/>
      <c r="K10" s="11"/>
      <c r="L10" s="11"/>
      <c r="M10" s="11"/>
    </row>
    <row r="11" customFormat="false" ht="23.25" hidden="false" customHeight="true" outlineLevel="0" collapsed="false">
      <c r="A11" s="9" t="s">
        <v>40</v>
      </c>
      <c r="B11" s="10" t="s">
        <v>32</v>
      </c>
      <c r="C11" s="10" t="s">
        <v>41</v>
      </c>
      <c r="D11" s="10" t="s">
        <v>20</v>
      </c>
      <c r="E11" s="10" t="s">
        <v>21</v>
      </c>
      <c r="F11" s="10" t="s">
        <v>28</v>
      </c>
      <c r="G11" s="10" t="s">
        <v>42</v>
      </c>
      <c r="H11" s="10" t="s">
        <v>43</v>
      </c>
      <c r="I11" s="11" t="s">
        <v>25</v>
      </c>
      <c r="J11" s="12"/>
      <c r="K11" s="11"/>
      <c r="L11" s="11"/>
      <c r="M11" s="11"/>
    </row>
    <row r="12" customFormat="false" ht="15" hidden="false" customHeight="true" outlineLevel="0" collapsed="false">
      <c r="A12" s="9" t="s">
        <v>44</v>
      </c>
      <c r="B12" s="10" t="s">
        <v>45</v>
      </c>
      <c r="C12" s="10" t="s">
        <v>46</v>
      </c>
      <c r="D12" s="10" t="s">
        <v>20</v>
      </c>
      <c r="E12" s="10" t="s">
        <v>21</v>
      </c>
      <c r="F12" s="10" t="s">
        <v>22</v>
      </c>
      <c r="G12" s="10" t="s">
        <v>47</v>
      </c>
      <c r="H12" s="10" t="s">
        <v>48</v>
      </c>
      <c r="I12" s="11" t="s">
        <v>25</v>
      </c>
      <c r="J12" s="12"/>
      <c r="K12" s="11"/>
      <c r="L12" s="11"/>
      <c r="M12" s="11"/>
    </row>
    <row r="13" customFormat="false" ht="15" hidden="false" customHeight="true" outlineLevel="0" collapsed="false">
      <c r="A13" s="9" t="s">
        <v>49</v>
      </c>
      <c r="B13" s="10" t="s">
        <v>45</v>
      </c>
      <c r="C13" s="10" t="s">
        <v>50</v>
      </c>
      <c r="D13" s="10" t="s">
        <v>20</v>
      </c>
      <c r="E13" s="10" t="s">
        <v>21</v>
      </c>
      <c r="F13" s="10" t="s">
        <v>51</v>
      </c>
      <c r="G13" s="10" t="s">
        <v>52</v>
      </c>
      <c r="H13" s="10" t="s">
        <v>53</v>
      </c>
      <c r="I13" s="11" t="s">
        <v>25</v>
      </c>
      <c r="J13" s="12"/>
      <c r="K13" s="11"/>
      <c r="L13" s="11"/>
      <c r="M13" s="11"/>
    </row>
    <row r="14" customFormat="false" ht="15" hidden="false" customHeight="true" outlineLevel="0" collapsed="false">
      <c r="A14" s="9" t="s">
        <v>54</v>
      </c>
      <c r="B14" s="10" t="s">
        <v>45</v>
      </c>
      <c r="C14" s="10" t="s">
        <v>55</v>
      </c>
      <c r="D14" s="10" t="s">
        <v>20</v>
      </c>
      <c r="E14" s="10" t="s">
        <v>21</v>
      </c>
      <c r="F14" s="10" t="s">
        <v>28</v>
      </c>
      <c r="G14" s="10" t="s">
        <v>56</v>
      </c>
      <c r="H14" s="10" t="s">
        <v>57</v>
      </c>
      <c r="I14" s="11" t="s">
        <v>25</v>
      </c>
      <c r="J14" s="12"/>
      <c r="K14" s="11"/>
      <c r="L14" s="11"/>
      <c r="M14" s="11"/>
    </row>
    <row r="15" customFormat="false" ht="15" hidden="false" customHeight="true" outlineLevel="0" collapsed="false">
      <c r="A15" s="9" t="s">
        <v>58</v>
      </c>
      <c r="B15" s="10" t="s">
        <v>45</v>
      </c>
      <c r="C15" s="10" t="s">
        <v>59</v>
      </c>
      <c r="D15" s="10" t="s">
        <v>20</v>
      </c>
      <c r="E15" s="10" t="s">
        <v>21</v>
      </c>
      <c r="F15" s="10" t="s">
        <v>28</v>
      </c>
      <c r="G15" s="10" t="s">
        <v>60</v>
      </c>
      <c r="H15" s="10" t="s">
        <v>61</v>
      </c>
      <c r="I15" s="11" t="s">
        <v>25</v>
      </c>
      <c r="J15" s="12"/>
      <c r="K15" s="11"/>
      <c r="L15" s="11"/>
      <c r="M15" s="11"/>
    </row>
    <row r="16" customFormat="false" ht="23.25" hidden="false" customHeight="true" outlineLevel="0" collapsed="false">
      <c r="A16" s="9" t="s">
        <v>62</v>
      </c>
      <c r="B16" s="10" t="s">
        <v>45</v>
      </c>
      <c r="C16" s="10" t="s">
        <v>63</v>
      </c>
      <c r="D16" s="10" t="s">
        <v>20</v>
      </c>
      <c r="E16" s="10" t="s">
        <v>21</v>
      </c>
      <c r="F16" s="10" t="s">
        <v>64</v>
      </c>
      <c r="G16" s="10" t="s">
        <v>65</v>
      </c>
      <c r="H16" s="10" t="s">
        <v>66</v>
      </c>
      <c r="I16" s="11" t="s">
        <v>25</v>
      </c>
      <c r="J16" s="12"/>
      <c r="K16" s="11"/>
      <c r="L16" s="11"/>
      <c r="M16" s="11"/>
    </row>
    <row r="17" customFormat="false" ht="23.25" hidden="false" customHeight="true" outlineLevel="0" collapsed="false">
      <c r="A17" s="9" t="s">
        <v>67</v>
      </c>
      <c r="B17" s="10" t="s">
        <v>45</v>
      </c>
      <c r="C17" s="10" t="s">
        <v>68</v>
      </c>
      <c r="D17" s="10" t="s">
        <v>20</v>
      </c>
      <c r="E17" s="10" t="s">
        <v>21</v>
      </c>
      <c r="F17" s="10" t="s">
        <v>28</v>
      </c>
      <c r="G17" s="10" t="s">
        <v>69</v>
      </c>
      <c r="H17" s="10" t="s">
        <v>70</v>
      </c>
      <c r="I17" s="11" t="s">
        <v>25</v>
      </c>
      <c r="J17" s="12"/>
      <c r="K17" s="11"/>
      <c r="L17" s="11"/>
      <c r="M17" s="11"/>
    </row>
    <row r="18" customFormat="false" ht="23.25" hidden="false" customHeight="true" outlineLevel="0" collapsed="false">
      <c r="A18" s="9" t="s">
        <v>71</v>
      </c>
      <c r="B18" s="10" t="s">
        <v>72</v>
      </c>
      <c r="C18" s="10" t="s">
        <v>73</v>
      </c>
      <c r="D18" s="10" t="s">
        <v>74</v>
      </c>
      <c r="E18" s="10" t="s">
        <v>75</v>
      </c>
      <c r="F18" s="10" t="s">
        <v>76</v>
      </c>
      <c r="G18" s="10" t="s">
        <v>77</v>
      </c>
      <c r="H18" s="10" t="s">
        <v>78</v>
      </c>
      <c r="I18" s="11" t="s">
        <v>25</v>
      </c>
      <c r="J18" s="12"/>
      <c r="K18" s="11"/>
      <c r="L18" s="11"/>
      <c r="M18" s="11"/>
    </row>
    <row r="19" customFormat="false" ht="23.25" hidden="false" customHeight="true" outlineLevel="0" collapsed="false">
      <c r="A19" s="9" t="s">
        <v>79</v>
      </c>
      <c r="B19" s="10" t="s">
        <v>72</v>
      </c>
      <c r="C19" s="10" t="s">
        <v>80</v>
      </c>
      <c r="D19" s="10" t="s">
        <v>74</v>
      </c>
      <c r="E19" s="10" t="s">
        <v>75</v>
      </c>
      <c r="F19" s="10" t="s">
        <v>28</v>
      </c>
      <c r="G19" s="10" t="s">
        <v>81</v>
      </c>
      <c r="H19" s="10" t="s">
        <v>82</v>
      </c>
      <c r="I19" s="11" t="s">
        <v>25</v>
      </c>
      <c r="J19" s="12"/>
      <c r="K19" s="11"/>
      <c r="L19" s="11"/>
      <c r="M19" s="11"/>
    </row>
    <row r="20" customFormat="false" ht="23.25" hidden="false" customHeight="true" outlineLevel="0" collapsed="false">
      <c r="A20" s="9" t="s">
        <v>83</v>
      </c>
      <c r="B20" s="10" t="s">
        <v>72</v>
      </c>
      <c r="C20" s="10" t="s">
        <v>84</v>
      </c>
      <c r="D20" s="10" t="s">
        <v>74</v>
      </c>
      <c r="E20" s="10" t="s">
        <v>75</v>
      </c>
      <c r="F20" s="10" t="s">
        <v>85</v>
      </c>
      <c r="G20" s="10" t="s">
        <v>86</v>
      </c>
      <c r="H20" s="10" t="s">
        <v>87</v>
      </c>
      <c r="I20" s="11" t="s">
        <v>25</v>
      </c>
      <c r="J20" s="12"/>
      <c r="K20" s="11"/>
      <c r="L20" s="11"/>
      <c r="M20" s="11"/>
    </row>
    <row r="21" customFormat="false" ht="23.25" hidden="false" customHeight="true" outlineLevel="0" collapsed="false">
      <c r="A21" s="9" t="s">
        <v>88</v>
      </c>
      <c r="B21" s="10" t="s">
        <v>72</v>
      </c>
      <c r="C21" s="10" t="s">
        <v>89</v>
      </c>
      <c r="D21" s="10" t="s">
        <v>74</v>
      </c>
      <c r="E21" s="10" t="s">
        <v>75</v>
      </c>
      <c r="F21" s="10" t="s">
        <v>22</v>
      </c>
      <c r="G21" s="10" t="s">
        <v>90</v>
      </c>
      <c r="H21" s="10" t="s">
        <v>91</v>
      </c>
      <c r="I21" s="11" t="s">
        <v>25</v>
      </c>
      <c r="J21" s="12"/>
      <c r="K21" s="11"/>
      <c r="L21" s="11"/>
      <c r="M21" s="11"/>
    </row>
    <row r="22" customFormat="false" ht="23.25" hidden="false" customHeight="true" outlineLevel="0" collapsed="false">
      <c r="A22" s="9" t="s">
        <v>92</v>
      </c>
      <c r="B22" s="10" t="s">
        <v>72</v>
      </c>
      <c r="C22" s="10" t="s">
        <v>93</v>
      </c>
      <c r="D22" s="10" t="s">
        <v>74</v>
      </c>
      <c r="E22" s="10" t="s">
        <v>94</v>
      </c>
      <c r="F22" s="10" t="s">
        <v>95</v>
      </c>
      <c r="G22" s="10" t="s">
        <v>96</v>
      </c>
      <c r="H22" s="10" t="s">
        <v>97</v>
      </c>
      <c r="I22" s="11" t="s">
        <v>25</v>
      </c>
      <c r="J22" s="12"/>
      <c r="K22" s="11"/>
      <c r="L22" s="11"/>
      <c r="M22" s="11"/>
    </row>
    <row r="23" customFormat="false" ht="23.25" hidden="false" customHeight="true" outlineLevel="0" collapsed="false">
      <c r="A23" s="9" t="s">
        <v>98</v>
      </c>
      <c r="B23" s="10" t="s">
        <v>99</v>
      </c>
      <c r="C23" s="10" t="s">
        <v>100</v>
      </c>
      <c r="D23" s="10" t="s">
        <v>20</v>
      </c>
      <c r="E23" s="13" t="str">
        <f aca="false">IF($C$3="","J+1 (saisir la date en C3)",$C$3+1)</f>
        <v>J+1 (saisir la date en C3)</v>
      </c>
      <c r="F23" s="10" t="s">
        <v>28</v>
      </c>
      <c r="G23" s="10" t="s">
        <v>101</v>
      </c>
      <c r="H23" s="10" t="s">
        <v>102</v>
      </c>
      <c r="I23" s="11" t="s">
        <v>25</v>
      </c>
      <c r="J23" s="12"/>
      <c r="K23" s="11"/>
      <c r="L23" s="11"/>
      <c r="M23" s="11"/>
    </row>
    <row r="24" customFormat="false" ht="23.25" hidden="false" customHeight="true" outlineLevel="0" collapsed="false">
      <c r="A24" s="9" t="s">
        <v>103</v>
      </c>
      <c r="B24" s="10" t="s">
        <v>99</v>
      </c>
      <c r="C24" s="10" t="s">
        <v>104</v>
      </c>
      <c r="D24" s="10" t="s">
        <v>74</v>
      </c>
      <c r="E24" s="13" t="str">
        <f aca="false">IF($C$3="","J+14 (saisir la date en C3)",$C$3+14)</f>
        <v>J+14 (saisir la date en C3)</v>
      </c>
      <c r="F24" s="10" t="s">
        <v>95</v>
      </c>
      <c r="G24" s="10" t="s">
        <v>105</v>
      </c>
      <c r="H24" s="10" t="s">
        <v>106</v>
      </c>
      <c r="I24" s="11" t="s">
        <v>25</v>
      </c>
      <c r="J24" s="12"/>
      <c r="K24" s="11"/>
      <c r="L24" s="11"/>
      <c r="M24" s="11"/>
    </row>
    <row r="25" customFormat="false" ht="23.25" hidden="false" customHeight="true" outlineLevel="0" collapsed="false">
      <c r="A25" s="9" t="s">
        <v>107</v>
      </c>
      <c r="B25" s="10" t="s">
        <v>99</v>
      </c>
      <c r="C25" s="10" t="s">
        <v>108</v>
      </c>
      <c r="D25" s="10" t="s">
        <v>74</v>
      </c>
      <c r="E25" s="13" t="str">
        <f aca="false">IF($C$3="","J+21 (saisir la date en C3)",$C$3+21)</f>
        <v>J+21 (saisir la date en C3)</v>
      </c>
      <c r="F25" s="10" t="s">
        <v>76</v>
      </c>
      <c r="G25" s="10" t="s">
        <v>109</v>
      </c>
      <c r="H25" s="10" t="s">
        <v>106</v>
      </c>
      <c r="I25" s="11" t="s">
        <v>25</v>
      </c>
      <c r="J25" s="12"/>
      <c r="K25" s="11"/>
      <c r="L25" s="11"/>
      <c r="M25" s="11"/>
    </row>
    <row r="26" customFormat="false" ht="23.25" hidden="false" customHeight="true" outlineLevel="0" collapsed="false">
      <c r="A26" s="9" t="s">
        <v>110</v>
      </c>
      <c r="B26" s="10" t="s">
        <v>99</v>
      </c>
      <c r="C26" s="10" t="s">
        <v>111</v>
      </c>
      <c r="D26" s="10" t="s">
        <v>20</v>
      </c>
      <c r="E26" s="13" t="str">
        <f aca="false">IF($C$3="","J+30 (saisir la date en C3)",$C$3+30)</f>
        <v>J+30 (saisir la date en C3)</v>
      </c>
      <c r="F26" s="10" t="s">
        <v>22</v>
      </c>
      <c r="G26" s="10" t="s">
        <v>112</v>
      </c>
      <c r="H26" s="10" t="s">
        <v>113</v>
      </c>
      <c r="I26" s="11" t="s">
        <v>25</v>
      </c>
      <c r="J26" s="12"/>
      <c r="K26" s="11"/>
      <c r="L26" s="11"/>
      <c r="M26" s="11"/>
    </row>
  </sheetData>
  <mergeCells count="1">
    <mergeCell ref="A2:M2"/>
  </mergeCells>
  <conditionalFormatting sqref="A7:M26">
    <cfRule type="expression" priority="2" aboveAverage="0" equalAverage="0" bottom="0" percent="0" rank="0" text="" dxfId="0">
      <formula>$I7="Fait"</formula>
    </cfRule>
    <cfRule type="expression" priority="3" aboveAverage="0" equalAverage="0" bottom="0" percent="0" rank="0" text="" dxfId="1">
      <formula>$I7="Bloqué"</formula>
    </cfRule>
    <cfRule type="expression" priority="4" aboveAverage="0" equalAverage="0" bottom="0" percent="0" rank="0" text="" dxfId="2">
      <formula>$I7="En cours"</formula>
    </cfRule>
  </conditionalFormatting>
  <dataValidations count="2">
    <dataValidation allowBlank="false" errorStyle="stop" operator="between" showDropDown="false" showErrorMessage="false" showInputMessage="false" sqref="I7:I26" type="list">
      <formula1>"À faire,En cours,Fait,Bloqué"</formula1>
      <formula2>0</formula2>
    </dataValidation>
    <dataValidation allowBlank="true" errorStyle="stop" operator="between" showDropDown="false" showErrorMessage="false" showInputMessage="false" sqref="L7:L26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44"/>
  </cols>
  <sheetData>
    <row r="1" customFormat="false" ht="15.75" hidden="false" customHeight="true" outlineLevel="0" collapsed="false">
      <c r="A1" s="14" t="s">
        <v>114</v>
      </c>
    </row>
    <row r="2" customFormat="false" ht="15" hidden="false" customHeight="true" outlineLevel="0" collapsed="false">
      <c r="A2" s="15" t="s">
        <v>115</v>
      </c>
    </row>
    <row r="4" customFormat="false" ht="15" hidden="false" customHeight="true" outlineLevel="0" collapsed="false">
      <c r="A4" s="16" t="s">
        <v>116</v>
      </c>
      <c r="B4" s="16" t="s">
        <v>6</v>
      </c>
      <c r="C4" s="16" t="s">
        <v>117</v>
      </c>
      <c r="D4" s="16" t="s">
        <v>118</v>
      </c>
      <c r="E4" s="16" t="s">
        <v>119</v>
      </c>
      <c r="F4" s="16" t="s">
        <v>120</v>
      </c>
      <c r="G4" s="16" t="s">
        <v>121</v>
      </c>
    </row>
    <row r="5" customFormat="false" ht="15" hidden="false" customHeight="true" outlineLevel="0" collapsed="false">
      <c r="A5" s="17" t="s">
        <v>122</v>
      </c>
      <c r="B5" s="17" t="s">
        <v>103</v>
      </c>
      <c r="C5" s="17" t="s">
        <v>123</v>
      </c>
      <c r="D5" s="17" t="s">
        <v>124</v>
      </c>
      <c r="E5" s="17" t="s">
        <v>125</v>
      </c>
      <c r="F5" s="17" t="s">
        <v>126</v>
      </c>
      <c r="G5" s="17" t="s">
        <v>127</v>
      </c>
    </row>
    <row r="6" customFormat="false" ht="15" hidden="false" customHeight="true" outlineLevel="0" collapsed="false">
      <c r="A6" s="18"/>
      <c r="B6" s="18"/>
      <c r="C6" s="18"/>
      <c r="D6" s="18"/>
      <c r="E6" s="18"/>
      <c r="F6" s="18"/>
      <c r="G6" s="18"/>
    </row>
    <row r="7" customFormat="false" ht="15" hidden="false" customHeight="true" outlineLevel="0" collapsed="false">
      <c r="A7" s="18"/>
      <c r="B7" s="18"/>
      <c r="C7" s="18"/>
      <c r="D7" s="18"/>
      <c r="E7" s="18"/>
      <c r="F7" s="18"/>
      <c r="G7" s="18"/>
    </row>
    <row r="8" customFormat="false" ht="15" hidden="false" customHeight="true" outlineLevel="0" collapsed="false">
      <c r="A8" s="18"/>
      <c r="B8" s="18"/>
      <c r="C8" s="18"/>
      <c r="D8" s="18"/>
      <c r="E8" s="18"/>
      <c r="F8" s="18"/>
      <c r="G8" s="18"/>
    </row>
    <row r="9" customFormat="false" ht="15" hidden="false" customHeight="true" outlineLevel="0" collapsed="false">
      <c r="A9" s="18"/>
      <c r="B9" s="18"/>
      <c r="C9" s="18"/>
      <c r="D9" s="18"/>
      <c r="E9" s="18"/>
      <c r="F9" s="18"/>
      <c r="G9" s="18"/>
    </row>
    <row r="10" customFormat="false" ht="15" hidden="false" customHeight="true" outlineLevel="0" collapsed="false">
      <c r="A10" s="18"/>
      <c r="B10" s="18"/>
      <c r="C10" s="18"/>
      <c r="D10" s="18"/>
      <c r="E10" s="18"/>
      <c r="F10" s="18"/>
      <c r="G10" s="18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18"/>
    </row>
    <row r="12" customFormat="false" ht="15" hidden="false" customHeight="true" outlineLevel="0" collapsed="false">
      <c r="A12" s="18"/>
      <c r="B12" s="18"/>
      <c r="C12" s="18"/>
      <c r="D12" s="18"/>
      <c r="E12" s="18"/>
      <c r="F12" s="18"/>
      <c r="G12" s="18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  <c r="G13" s="18"/>
    </row>
    <row r="14" customFormat="false" ht="15" hidden="false" customHeight="true" outlineLevel="0" collapsed="false">
      <c r="A14" s="18"/>
      <c r="B14" s="18"/>
      <c r="C14" s="18"/>
      <c r="D14" s="18"/>
      <c r="E14" s="18"/>
      <c r="F14" s="18"/>
      <c r="G14" s="18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  <c r="G15" s="18"/>
    </row>
    <row r="16" customFormat="false" ht="15" hidden="false" customHeight="true" outlineLevel="0" collapsed="false">
      <c r="A16" s="18"/>
      <c r="B16" s="18"/>
      <c r="C16" s="18"/>
      <c r="D16" s="18"/>
      <c r="E16" s="18"/>
      <c r="F16" s="18"/>
      <c r="G16" s="18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18"/>
    </row>
    <row r="18" customFormat="false" ht="15" hidden="false" customHeight="true" outlineLevel="0" collapsed="false">
      <c r="A18" s="18"/>
      <c r="B18" s="18"/>
      <c r="C18" s="18"/>
      <c r="D18" s="18"/>
      <c r="E18" s="18"/>
      <c r="F18" s="18"/>
      <c r="G18" s="18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  <c r="G19" s="18"/>
    </row>
    <row r="20" customFormat="false" ht="15" hidden="false" customHeight="true" outlineLevel="0" collapsed="false">
      <c r="A20" s="18"/>
      <c r="B20" s="18"/>
      <c r="C20" s="18"/>
      <c r="D20" s="18"/>
      <c r="E20" s="18"/>
      <c r="F20" s="18"/>
      <c r="G20" s="18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18"/>
    </row>
    <row r="22" customFormat="false" ht="15" hidden="false" customHeight="true" outlineLevel="0" collapsed="false">
      <c r="A22" s="18"/>
      <c r="B22" s="18"/>
      <c r="C22" s="18"/>
      <c r="D22" s="18"/>
      <c r="E22" s="18"/>
      <c r="F22" s="18"/>
      <c r="G22" s="18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  <c r="G23" s="18"/>
    </row>
    <row r="24" customFormat="false" ht="15" hidden="false" customHeight="true" outlineLevel="0" collapsed="false">
      <c r="A24" s="18"/>
      <c r="B24" s="18"/>
      <c r="C24" s="18"/>
      <c r="D24" s="18"/>
      <c r="E24" s="18"/>
      <c r="F24" s="18"/>
      <c r="G24" s="18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18"/>
    </row>
    <row r="26" customFormat="false" ht="15" hidden="false" customHeight="true" outlineLevel="0" collapsed="false">
      <c r="A26" s="18"/>
      <c r="B26" s="18"/>
      <c r="C26" s="18"/>
      <c r="D26" s="18"/>
      <c r="E26" s="18"/>
      <c r="F26" s="18"/>
      <c r="G26" s="18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18"/>
    </row>
    <row r="28" customFormat="false" ht="15" hidden="false" customHeight="true" outlineLevel="0" collapsed="false">
      <c r="A28" s="18"/>
      <c r="B28" s="18"/>
      <c r="C28" s="18"/>
      <c r="D28" s="18"/>
      <c r="E28" s="18"/>
      <c r="F28" s="18"/>
      <c r="G28" s="18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  <c r="G29" s="18"/>
    </row>
    <row r="30" customFormat="false" ht="15" hidden="false" customHeight="true" outlineLevel="0" collapsed="false">
      <c r="A30" s="18"/>
      <c r="B30" s="18"/>
      <c r="C30" s="18"/>
      <c r="D30" s="18"/>
      <c r="E30" s="18"/>
      <c r="F30" s="18"/>
      <c r="G30" s="18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18"/>
    </row>
    <row r="32" customFormat="false" ht="15" hidden="false" customHeight="true" outlineLevel="0" collapsed="false">
      <c r="A32" s="18"/>
      <c r="B32" s="18"/>
      <c r="C32" s="18"/>
      <c r="D32" s="18"/>
      <c r="E32" s="18"/>
      <c r="F32" s="18"/>
      <c r="G32" s="18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18"/>
    </row>
    <row r="34" customFormat="false" ht="15" hidden="false" customHeight="true" outlineLevel="0" collapsed="false">
      <c r="A34" s="18"/>
      <c r="B34" s="18"/>
      <c r="C34" s="18"/>
      <c r="D34" s="18"/>
      <c r="E34" s="18"/>
      <c r="F34" s="18"/>
      <c r="G34" s="18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18"/>
    </row>
    <row r="36" customFormat="false" ht="15" hidden="false" customHeight="true" outlineLevel="0" collapsed="false">
      <c r="A36" s="18"/>
      <c r="B36" s="18"/>
      <c r="C36" s="18"/>
      <c r="D36" s="18"/>
      <c r="E36" s="18"/>
      <c r="F36" s="18"/>
      <c r="G36" s="18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  <c r="G37" s="18"/>
    </row>
    <row r="38" customFormat="false" ht="15" hidden="false" customHeight="true" outlineLevel="0" collapsed="false">
      <c r="A38" s="18"/>
      <c r="B38" s="18"/>
      <c r="C38" s="18"/>
      <c r="D38" s="18"/>
      <c r="E38" s="18"/>
      <c r="F38" s="18"/>
      <c r="G38" s="18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2026-09-25T21:44:50Z</dcterms:created>
  <dc:creator>openpyxl</dc:creator>
  <dc:description/>
  <dc:language>en-US</dc:language>
  <cp:lastModifiedBy/>
  <dcterms:modified xsi:type="dcterms:W3CDTF">2026-09-25T22:20:51Z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